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S:\Semester 4\Masters Thesis New\1. New Report Documentation\"/>
    </mc:Choice>
  </mc:AlternateContent>
  <xr:revisionPtr revIDLastSave="0" documentId="13_ncr:1_{34F53A69-BB45-4D79-823E-558404A7B74A}" xr6:coauthVersionLast="47" xr6:coauthVersionMax="47" xr10:uidLastSave="{00000000-0000-0000-0000-000000000000}"/>
  <bookViews>
    <workbookView xWindow="-110" yWindow="-110" windowWidth="19420" windowHeight="11500" activeTab="1" xr2:uid="{35DFBF46-7344-449F-A2EC-A0A938F3A646}"/>
  </bookViews>
  <sheets>
    <sheet name="Sheet1" sheetId="1" r:id="rId1"/>
    <sheet name="Scores " sheetId="2" r:id="rId2"/>
  </sheets>
  <definedNames>
    <definedName name="_Hlk207351802" localSheetId="1">'Scores '!$B$7</definedName>
    <definedName name="_Hlk214129283" localSheetId="1">'Scores '!$B$15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5" i="2" l="1"/>
  <c r="F26" i="2"/>
  <c r="F27" i="2"/>
  <c r="F28" i="2"/>
  <c r="F24" i="2"/>
  <c r="E25" i="2"/>
  <c r="E26" i="2"/>
  <c r="E27" i="2"/>
  <c r="E28" i="2"/>
  <c r="E24" i="2"/>
  <c r="D25" i="2"/>
  <c r="D26" i="2"/>
  <c r="D27" i="2"/>
  <c r="D28" i="2"/>
  <c r="D24" i="2"/>
  <c r="H9" i="1"/>
  <c r="H8" i="1"/>
</calcChain>
</file>

<file path=xl/sharedStrings.xml><?xml version="1.0" encoding="utf-8"?>
<sst xmlns="http://schemas.openxmlformats.org/spreadsheetml/2006/main" count="30" uniqueCount="10">
  <si>
    <t>#</t>
  </si>
  <si>
    <t>Model</t>
  </si>
  <si>
    <t>AUC value</t>
  </si>
  <si>
    <t>Recall Score</t>
  </si>
  <si>
    <t>Precision Score</t>
  </si>
  <si>
    <t>RF</t>
  </si>
  <si>
    <t>XGBoost</t>
  </si>
  <si>
    <t>ANN</t>
  </si>
  <si>
    <t>SVM</t>
  </si>
  <si>
    <t>GBM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</si>
</sst>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10" fontId="0" fillId="0" borderId="0" xfId="1" applyNumberFormat="1" applyFont="1"/>
    <xf numFmtId="0" fontId="3" fillId="2" borderId="1" xfId="0" applyFont="1" applyFill="1" applyBorder="1" applyAlignment="1">
      <alignment horizontal="justify" vertical="center" wrapText="1"/>
    </xf>
    <xf numFmtId="0" fontId="4" fillId="2" borderId="2" xfId="0" applyFont="1" applyFill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10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0" fontId="2" fillId="0" borderId="4" xfId="1" applyNumberFormat="1" applyFont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0" fontId="2" fillId="0" borderId="3" xfId="0" applyNumberFormat="1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0" fontId="5" fillId="0" borderId="3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2CB2C-581C-4F56-921F-BA571278447A}">
  <dimension ref="H6:H9"/>
  <sheetViews>
    <sheetView workbookViewId="0">
      <selection activeCell="H10" sqref="H10"/>
    </sheetView>
  </sheetViews>
  <sheetFormatPr defaultRowHeight="14.5" x14ac:dyDescent="0.35"/>
  <sheetData>
    <row r="6" spans="8:8" x14ac:dyDescent="0.35">
      <c r="H6">
        <v>0.26779999999999998</v>
      </c>
    </row>
    <row r="7" spans="8:8" x14ac:dyDescent="0.35">
      <c r="H7">
        <v>0.2883</v>
      </c>
    </row>
    <row r="8" spans="8:8" x14ac:dyDescent="0.35">
      <c r="H8">
        <f>H6-H7</f>
        <v>-2.0500000000000018E-2</v>
      </c>
    </row>
    <row r="9" spans="8:8" x14ac:dyDescent="0.35">
      <c r="H9" s="1">
        <f>H8/H6</f>
        <v>-7.6549663928304784E-2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E21F9-2AB4-4353-A283-477AFD33F85F}">
  <dimension ref="B6:F28"/>
  <sheetViews>
    <sheetView tabSelected="1" topLeftCell="A6" workbookViewId="0">
      <selection activeCell="N27" sqref="N27"/>
    </sheetView>
  </sheetViews>
  <sheetFormatPr defaultRowHeight="14.5" x14ac:dyDescent="0.35"/>
  <cols>
    <col min="3" max="3" width="9" bestFit="1" customWidth="1"/>
    <col min="4" max="4" width="10.6328125" bestFit="1" customWidth="1"/>
    <col min="5" max="5" width="12.453125" bestFit="1" customWidth="1"/>
    <col min="6" max="6" width="15.54296875" bestFit="1" customWidth="1"/>
  </cols>
  <sheetData>
    <row r="6" spans="2:6" ht="15" thickBot="1" x14ac:dyDescent="0.4"/>
    <row r="7" spans="2:6" ht="15" thickBot="1" x14ac:dyDescent="0.4">
      <c r="B7" s="2" t="s">
        <v>0</v>
      </c>
      <c r="C7" s="3" t="s">
        <v>1</v>
      </c>
      <c r="D7" s="3" t="s">
        <v>2</v>
      </c>
      <c r="E7" s="3" t="s">
        <v>3</v>
      </c>
      <c r="F7" s="3" t="s">
        <v>4</v>
      </c>
    </row>
    <row r="8" spans="2:6" ht="15" thickBot="1" x14ac:dyDescent="0.4">
      <c r="B8" s="4">
        <v>1</v>
      </c>
      <c r="C8" s="5" t="s">
        <v>5</v>
      </c>
      <c r="D8" s="9">
        <v>0.76270000000000004</v>
      </c>
      <c r="E8" s="10">
        <v>0.57640000000000002</v>
      </c>
      <c r="F8" s="10">
        <v>0.25580000000000003</v>
      </c>
    </row>
    <row r="9" spans="2:6" ht="15" thickBot="1" x14ac:dyDescent="0.4">
      <c r="B9" s="4">
        <v>2</v>
      </c>
      <c r="C9" s="5" t="s">
        <v>6</v>
      </c>
      <c r="D9" s="11">
        <v>0.77410000000000001</v>
      </c>
      <c r="E9" s="7">
        <v>0.47520000000000001</v>
      </c>
      <c r="F9" s="7">
        <v>0.29559999999999997</v>
      </c>
    </row>
    <row r="10" spans="2:6" ht="15" thickBot="1" x14ac:dyDescent="0.4">
      <c r="B10" s="4">
        <v>3</v>
      </c>
      <c r="C10" s="5" t="s">
        <v>7</v>
      </c>
      <c r="D10" s="11">
        <v>0.76729999999999998</v>
      </c>
      <c r="E10" s="7">
        <v>0.48280000000000001</v>
      </c>
      <c r="F10" s="7">
        <v>0.2868</v>
      </c>
    </row>
    <row r="11" spans="2:6" ht="15" thickBot="1" x14ac:dyDescent="0.4">
      <c r="B11" s="4">
        <v>4</v>
      </c>
      <c r="C11" s="5" t="s">
        <v>8</v>
      </c>
      <c r="D11" s="11">
        <v>0.74609999999999999</v>
      </c>
      <c r="E11" s="7">
        <v>0.48970000000000002</v>
      </c>
      <c r="F11" s="7">
        <v>0.26390000000000002</v>
      </c>
    </row>
    <row r="12" spans="2:6" ht="15" thickBot="1" x14ac:dyDescent="0.4">
      <c r="B12" s="4">
        <v>5</v>
      </c>
      <c r="C12" s="5" t="s">
        <v>9</v>
      </c>
      <c r="D12" s="11">
        <v>0.77439999999999998</v>
      </c>
      <c r="E12" s="7">
        <v>0.56989999999999996</v>
      </c>
      <c r="F12" s="7">
        <v>0.26939999999999997</v>
      </c>
    </row>
    <row r="14" spans="2:6" ht="15" thickBot="1" x14ac:dyDescent="0.4"/>
    <row r="15" spans="2:6" ht="15" thickBot="1" x14ac:dyDescent="0.4">
      <c r="B15" s="2" t="s">
        <v>0</v>
      </c>
      <c r="C15" s="3" t="s">
        <v>1</v>
      </c>
      <c r="D15" s="3" t="s">
        <v>2</v>
      </c>
      <c r="E15" s="3" t="s">
        <v>3</v>
      </c>
      <c r="F15" s="3" t="s">
        <v>4</v>
      </c>
    </row>
    <row r="16" spans="2:6" ht="15" thickBot="1" x14ac:dyDescent="0.4">
      <c r="B16" s="4">
        <v>1</v>
      </c>
      <c r="C16" s="5" t="s">
        <v>5</v>
      </c>
      <c r="D16" s="12">
        <v>0.73419999999999996</v>
      </c>
      <c r="E16" s="13">
        <v>0.57909999999999995</v>
      </c>
      <c r="F16" s="13">
        <v>0.22509999999999999</v>
      </c>
    </row>
    <row r="17" spans="2:6" ht="15" thickBot="1" x14ac:dyDescent="0.4">
      <c r="B17" s="4">
        <v>2</v>
      </c>
      <c r="C17" s="5" t="s">
        <v>6</v>
      </c>
      <c r="D17" s="14">
        <v>0.77049999999999996</v>
      </c>
      <c r="E17" s="15">
        <v>0.51659999999999995</v>
      </c>
      <c r="F17" s="15">
        <v>0.27879999999999999</v>
      </c>
    </row>
    <row r="18" spans="2:6" ht="15" thickBot="1" x14ac:dyDescent="0.4">
      <c r="B18" s="4">
        <v>3</v>
      </c>
      <c r="C18" s="5" t="s">
        <v>7</v>
      </c>
      <c r="D18" s="14">
        <v>0.74919999999999998</v>
      </c>
      <c r="E18" s="15">
        <v>0.47960000000000003</v>
      </c>
      <c r="F18" s="15">
        <v>0.26929999999999998</v>
      </c>
    </row>
    <row r="19" spans="2:6" ht="15" thickBot="1" x14ac:dyDescent="0.4">
      <c r="B19" s="4">
        <v>4</v>
      </c>
      <c r="C19" s="5" t="s">
        <v>8</v>
      </c>
      <c r="D19" s="14">
        <v>0.74</v>
      </c>
      <c r="E19" s="15">
        <v>0.53080000000000005</v>
      </c>
      <c r="F19" s="15">
        <v>0.25</v>
      </c>
    </row>
    <row r="20" spans="2:6" ht="15" thickBot="1" x14ac:dyDescent="0.4">
      <c r="B20" s="4">
        <v>5</v>
      </c>
      <c r="C20" s="5" t="s">
        <v>9</v>
      </c>
      <c r="D20" s="14">
        <v>0.76719999999999999</v>
      </c>
      <c r="E20" s="15">
        <v>0.52010000000000001</v>
      </c>
      <c r="F20" s="15">
        <v>0.27460000000000001</v>
      </c>
    </row>
    <row r="22" spans="2:6" ht="15" thickBot="1" x14ac:dyDescent="0.4"/>
    <row r="23" spans="2:6" ht="15" thickBot="1" x14ac:dyDescent="0.4">
      <c r="B23" s="2" t="s">
        <v>0</v>
      </c>
      <c r="C23" s="3" t="s">
        <v>1</v>
      </c>
      <c r="D23" s="3" t="s">
        <v>2</v>
      </c>
      <c r="E23" s="3" t="s">
        <v>3</v>
      </c>
      <c r="F23" s="3" t="s">
        <v>4</v>
      </c>
    </row>
    <row r="24" spans="2:6" ht="15" thickBot="1" x14ac:dyDescent="0.4">
      <c r="B24" s="4">
        <v>1</v>
      </c>
      <c r="C24" s="5" t="s">
        <v>5</v>
      </c>
      <c r="D24" s="6">
        <f t="shared" ref="D24:F28" si="0">(D16-D8)/D8</f>
        <v>-3.7367247934967984E-2</v>
      </c>
      <c r="E24" s="8">
        <f t="shared" si="0"/>
        <v>4.6842470506591339E-3</v>
      </c>
      <c r="F24" s="8">
        <f t="shared" si="0"/>
        <v>-0.12001563721657557</v>
      </c>
    </row>
    <row r="25" spans="2:6" ht="15" thickBot="1" x14ac:dyDescent="0.4">
      <c r="B25" s="4">
        <v>2</v>
      </c>
      <c r="C25" s="5" t="s">
        <v>6</v>
      </c>
      <c r="D25" s="6">
        <f t="shared" si="0"/>
        <v>-4.6505619429014957E-3</v>
      </c>
      <c r="E25" s="8">
        <f t="shared" si="0"/>
        <v>8.7121212121211988E-2</v>
      </c>
      <c r="F25" s="8">
        <f t="shared" si="0"/>
        <v>-5.6833558863328769E-2</v>
      </c>
    </row>
    <row r="26" spans="2:6" ht="15" thickBot="1" x14ac:dyDescent="0.4">
      <c r="B26" s="4">
        <v>3</v>
      </c>
      <c r="C26" s="5" t="s">
        <v>7</v>
      </c>
      <c r="D26" s="6">
        <f t="shared" si="0"/>
        <v>-2.358920891437509E-2</v>
      </c>
      <c r="E26" s="8">
        <f t="shared" si="0"/>
        <v>-6.6280033140016167E-3</v>
      </c>
      <c r="F26" s="8">
        <f t="shared" si="0"/>
        <v>-6.1018131101813165E-2</v>
      </c>
    </row>
    <row r="27" spans="2:6" ht="15" thickBot="1" x14ac:dyDescent="0.4">
      <c r="B27" s="4">
        <v>4</v>
      </c>
      <c r="C27" s="5" t="s">
        <v>8</v>
      </c>
      <c r="D27" s="6">
        <f t="shared" si="0"/>
        <v>-8.1758477415895918E-3</v>
      </c>
      <c r="E27" s="8">
        <f t="shared" si="0"/>
        <v>8.3928936083316363E-2</v>
      </c>
      <c r="F27" s="8">
        <f t="shared" si="0"/>
        <v>-5.2671466464569994E-2</v>
      </c>
    </row>
    <row r="28" spans="2:6" ht="15" thickBot="1" x14ac:dyDescent="0.4">
      <c r="B28" s="4">
        <v>5</v>
      </c>
      <c r="C28" s="5" t="s">
        <v>9</v>
      </c>
      <c r="D28" s="6">
        <f t="shared" si="0"/>
        <v>-9.2975206611570042E-3</v>
      </c>
      <c r="E28" s="8">
        <f t="shared" si="0"/>
        <v>-8.7383751535357004E-2</v>
      </c>
      <c r="F28" s="8">
        <f t="shared" si="0"/>
        <v>1.9302152932442609E-2</v>
      </c>
    </row>
  </sheetData>
  <conditionalFormatting sqref="D24:F2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Scores </vt:lpstr>
      <vt:lpstr>'Scores '!_Hlk207351802</vt:lpstr>
      <vt:lpstr>'Scores '!_Hlk214129283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Eunice Patricia Aber</dc:creator>
  <cp:lastModifiedBy>Eunice Patricia Aber</cp:lastModifiedBy>
  <dcterms:created xsi:type="dcterms:W3CDTF">2025-11-15T16:06:10Z</dcterms:created>
  <dcterms:modified xsi:type="dcterms:W3CDTF">2025-12-28T21:50:34Z</dcterms:modified>
</cp:coreProperties>
</file>