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S:\Semester 4\Masters Thesis New\1. New Report Documentation\"/>
    </mc:Choice>
  </mc:AlternateContent>
  <xr:revisionPtr revIDLastSave="0" documentId="13_ncr:1_{EDFCBAB7-67AD-4A0D-8343-53E9BF3027A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XGBoost - Metrics" sheetId="1" r:id="rId1"/>
    <sheet name="SVM - Metrics" sheetId="8" r:id="rId2"/>
    <sheet name="ANN - Metrics" sheetId="9" r:id="rId3"/>
    <sheet name="n_samples - XGBnSHAP" sheetId="10" r:id="rId4"/>
    <sheet name="n_samples - XGBnLIME" sheetId="16" r:id="rId5"/>
    <sheet name="n_samples - XGBnCounterfactual" sheetId="12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3" i="16" l="1"/>
  <c r="D12" i="16"/>
  <c r="D11" i="16"/>
  <c r="D10" i="16"/>
  <c r="D9" i="16"/>
  <c r="D8" i="16"/>
  <c r="D7" i="16"/>
  <c r="D6" i="16"/>
  <c r="C11" i="16"/>
  <c r="C13" i="16"/>
  <c r="C12" i="16"/>
  <c r="C10" i="16"/>
  <c r="C9" i="16"/>
  <c r="C8" i="16"/>
  <c r="C7" i="16"/>
  <c r="C6" i="16"/>
  <c r="C5" i="16"/>
  <c r="C4" i="16"/>
  <c r="D13" i="12"/>
  <c r="C13" i="12"/>
  <c r="D12" i="12"/>
  <c r="C12" i="12"/>
  <c r="D11" i="12"/>
  <c r="C11" i="12"/>
  <c r="D10" i="12"/>
  <c r="C10" i="12"/>
  <c r="D9" i="12"/>
  <c r="C9" i="12"/>
  <c r="D8" i="12"/>
  <c r="C8" i="12"/>
  <c r="D7" i="12"/>
  <c r="C7" i="12"/>
  <c r="D6" i="12"/>
  <c r="C6" i="12"/>
  <c r="C5" i="12"/>
  <c r="C4" i="12"/>
  <c r="D7" i="10"/>
  <c r="D8" i="10"/>
  <c r="D9" i="10"/>
  <c r="D10" i="10"/>
  <c r="D11" i="10"/>
  <c r="D12" i="10"/>
  <c r="D13" i="10"/>
  <c r="D6" i="10"/>
  <c r="C4" i="10"/>
  <c r="C5" i="10"/>
  <c r="C6" i="10"/>
  <c r="C7" i="10"/>
  <c r="C8" i="10"/>
  <c r="C9" i="10"/>
  <c r="C10" i="10"/>
  <c r="C11" i="10"/>
  <c r="C12" i="10"/>
  <c r="C13" i="10"/>
</calcChain>
</file>

<file path=xl/sharedStrings.xml><?xml version="1.0" encoding="utf-8"?>
<sst xmlns="http://schemas.openxmlformats.org/spreadsheetml/2006/main" count="83" uniqueCount="30">
  <si>
    <t>SHAP Local</t>
  </si>
  <si>
    <t>LIME</t>
  </si>
  <si>
    <t>Counterfactual</t>
  </si>
  <si>
    <t>SHAP Global</t>
  </si>
  <si>
    <t>SP-LIME</t>
  </si>
  <si>
    <t>Permutation Importance</t>
  </si>
  <si>
    <t>#</t>
  </si>
  <si>
    <t>Integrated Gradient Local</t>
  </si>
  <si>
    <t>Integrated Gradient Global</t>
  </si>
  <si>
    <t>Faithfulness</t>
  </si>
  <si>
    <t>Incompleteness</t>
  </si>
  <si>
    <t>Evaluation Metric by XAI method for the XGBoost  Model</t>
  </si>
  <si>
    <t>Monotonicity (for Global Methods)</t>
  </si>
  <si>
    <t>Explanation Sensitivity (for Local methods)</t>
  </si>
  <si>
    <t>nan</t>
  </si>
  <si>
    <t>Evaluation Metric by XAI method for the SVM  Model</t>
  </si>
  <si>
    <t>Evaluation Metric by XAI method for the ANN  Model</t>
  </si>
  <si>
    <t>n_samples</t>
  </si>
  <si>
    <t>Sensitivity for SHAP Local on XGBoost  Model at various n_samples values</t>
  </si>
  <si>
    <t>Sensitivity for LIME on XGBoost  Model at various n_samples values</t>
  </si>
  <si>
    <t>Sensitivity for Counterfactual on XGBoost  Model at various n_samples values</t>
  </si>
  <si>
    <t>% Diff Counterfactual with n_samples=10</t>
  </si>
  <si>
    <t>% Diff Counterfactual with n_samples=30</t>
  </si>
  <si>
    <t>% Diff LIME with n_samples=10</t>
  </si>
  <si>
    <t>% Diff LIME with n_samples=30</t>
  </si>
  <si>
    <t>% Diff SHAP with n_samples=10</t>
  </si>
  <si>
    <t>% Diff SHAP with n_samples=30</t>
  </si>
  <si>
    <t>Not Applicable</t>
  </si>
  <si>
    <t>Not Feasible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</si>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</sst>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_-* #,##0.0000_-;\-* #,##0.0000_-;_-* &quot;-&quot;_-;_-@_-"/>
    <numFmt numFmtId="165" formatCode="0.00000000000000"/>
    <numFmt numFmtId="166" formatCode="0.00000000000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19" fillId="33" borderId="10" xfId="0" applyFont="1" applyFill="1" applyBorder="1" applyAlignment="1">
      <alignment horizontal="justify" vertical="center" wrapText="1"/>
    </xf>
    <xf numFmtId="0" fontId="18" fillId="0" borderId="0" xfId="0" applyFont="1"/>
    <xf numFmtId="0" fontId="18" fillId="0" borderId="10" xfId="0" applyFont="1" applyBorder="1"/>
    <xf numFmtId="164" fontId="19" fillId="33" borderId="10" xfId="42" applyNumberFormat="1" applyFont="1" applyFill="1" applyBorder="1" applyAlignment="1">
      <alignment horizontal="justify" vertical="center" wrapText="1"/>
    </xf>
    <xf numFmtId="164" fontId="18" fillId="0" borderId="10" xfId="42" applyNumberFormat="1" applyFont="1" applyBorder="1" applyAlignment="1">
      <alignment horizontal="center"/>
    </xf>
    <xf numFmtId="164" fontId="18" fillId="0" borderId="0" xfId="42" applyNumberFormat="1" applyFont="1"/>
    <xf numFmtId="0" fontId="19" fillId="33" borderId="10" xfId="0" applyFont="1" applyFill="1" applyBorder="1" applyAlignment="1">
      <alignment horizontal="justify" vertical="center"/>
    </xf>
    <xf numFmtId="0" fontId="18" fillId="0" borderId="0" xfId="0" applyFont="1" applyAlignment="1"/>
    <xf numFmtId="0" fontId="18" fillId="0" borderId="10" xfId="0" applyFont="1" applyBorder="1" applyAlignment="1">
      <alignment wrapText="1"/>
    </xf>
    <xf numFmtId="9" fontId="19" fillId="33" borderId="10" xfId="43" applyFont="1" applyFill="1" applyBorder="1" applyAlignment="1">
      <alignment horizontal="justify" vertical="center" wrapText="1"/>
    </xf>
    <xf numFmtId="9" fontId="18" fillId="0" borderId="10" xfId="43" applyFont="1" applyBorder="1" applyAlignment="1">
      <alignment wrapText="1"/>
    </xf>
    <xf numFmtId="9" fontId="18" fillId="0" borderId="0" xfId="43" applyFont="1" applyAlignment="1"/>
    <xf numFmtId="0" fontId="18" fillId="35" borderId="10" xfId="0" applyFont="1" applyFill="1" applyBorder="1" applyAlignment="1">
      <alignment wrapText="1"/>
    </xf>
    <xf numFmtId="9" fontId="18" fillId="35" borderId="10" xfId="43" applyFont="1" applyFill="1" applyBorder="1" applyAlignment="1">
      <alignment wrapText="1"/>
    </xf>
    <xf numFmtId="0" fontId="19" fillId="33" borderId="10" xfId="0" applyFont="1" applyFill="1" applyBorder="1" applyAlignment="1">
      <alignment horizontal="left" vertical="top"/>
    </xf>
    <xf numFmtId="164" fontId="19" fillId="33" borderId="10" xfId="42" applyNumberFormat="1" applyFont="1" applyFill="1" applyBorder="1" applyAlignment="1">
      <alignment horizontal="left" vertical="top" wrapText="1"/>
    </xf>
    <xf numFmtId="9" fontId="19" fillId="33" borderId="10" xfId="43" applyFont="1" applyFill="1" applyBorder="1" applyAlignment="1">
      <alignment horizontal="left" vertical="top" wrapText="1"/>
    </xf>
    <xf numFmtId="165" fontId="18" fillId="0" borderId="10" xfId="0" applyNumberFormat="1" applyFont="1" applyBorder="1" applyAlignment="1">
      <alignment wrapText="1"/>
    </xf>
    <xf numFmtId="165" fontId="18" fillId="35" borderId="10" xfId="0" applyNumberFormat="1" applyFont="1" applyFill="1" applyBorder="1" applyAlignment="1">
      <alignment wrapText="1"/>
    </xf>
    <xf numFmtId="166" fontId="18" fillId="0" borderId="10" xfId="0" applyNumberFormat="1" applyFont="1" applyBorder="1" applyAlignment="1">
      <alignment wrapText="1"/>
    </xf>
    <xf numFmtId="166" fontId="18" fillId="35" borderId="10" xfId="0" applyNumberFormat="1" applyFont="1" applyFill="1" applyBorder="1" applyAlignment="1">
      <alignment wrapText="1"/>
    </xf>
    <xf numFmtId="1" fontId="18" fillId="0" borderId="10" xfId="42" applyNumberFormat="1" applyFont="1" applyBorder="1" applyAlignment="1">
      <alignment horizontal="center"/>
    </xf>
    <xf numFmtId="0" fontId="19" fillId="34" borderId="11" xfId="0" applyFont="1" applyFill="1" applyBorder="1" applyAlignment="1">
      <alignment horizontal="center" vertical="center" wrapText="1"/>
    </xf>
    <xf numFmtId="0" fontId="19" fillId="34" borderId="12" xfId="0" applyFont="1" applyFill="1" applyBorder="1" applyAlignment="1">
      <alignment horizontal="center" vertical="center" wrapText="1"/>
    </xf>
    <xf numFmtId="0" fontId="19" fillId="34" borderId="13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19" fillId="34" borderId="14" xfId="0" applyFont="1" applyFill="1" applyBorder="1" applyAlignment="1">
      <alignment horizontal="center" vertical="center" wrapText="1"/>
    </xf>
    <xf numFmtId="0" fontId="19" fillId="34" borderId="15" xfId="0" applyFont="1" applyFill="1" applyBorder="1" applyAlignment="1">
      <alignment horizontal="center" vertical="center" wrapTex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[0]" xfId="42" builtinId="6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showGridLines="0" tabSelected="1" zoomScale="80" zoomScaleNormal="80" workbookViewId="0">
      <selection activeCell="B2" sqref="B2"/>
    </sheetView>
  </sheetViews>
  <sheetFormatPr defaultRowHeight="14" x14ac:dyDescent="0.3"/>
  <cols>
    <col min="1" max="1" width="3.26953125" style="2" bestFit="1" customWidth="1"/>
    <col min="2" max="2" width="40.1796875" style="2" bestFit="1" customWidth="1"/>
    <col min="3" max="3" width="13.1796875" style="6" bestFit="1" customWidth="1"/>
    <col min="4" max="4" width="10.90625" style="6" bestFit="1" customWidth="1"/>
    <col min="5" max="5" width="16.26953125" style="6" bestFit="1" customWidth="1"/>
    <col min="6" max="6" width="14.26953125" style="6" bestFit="1" customWidth="1"/>
    <col min="7" max="7" width="15.54296875" style="6" bestFit="1" customWidth="1"/>
    <col min="8" max="8" width="26" style="6" bestFit="1" customWidth="1"/>
    <col min="9" max="9" width="36.36328125" style="2" customWidth="1"/>
    <col min="10" max="16384" width="8.7265625" style="2"/>
  </cols>
  <sheetData>
    <row r="1" spans="1:8" x14ac:dyDescent="0.3">
      <c r="A1" s="23" t="s">
        <v>11</v>
      </c>
      <c r="B1" s="24"/>
      <c r="C1" s="24"/>
      <c r="D1" s="24"/>
      <c r="E1" s="24"/>
      <c r="F1" s="24"/>
      <c r="G1" s="24"/>
      <c r="H1" s="25"/>
    </row>
    <row r="2" spans="1:8" x14ac:dyDescent="0.3">
      <c r="A2" s="1" t="s">
        <v>6</v>
      </c>
      <c r="B2" s="1" t="s">
        <v>29</v>
      </c>
      <c r="C2" s="4" t="s">
        <v>0</v>
      </c>
      <c r="D2" s="4" t="s">
        <v>1</v>
      </c>
      <c r="E2" s="4" t="s">
        <v>2</v>
      </c>
      <c r="F2" s="4" t="s">
        <v>3</v>
      </c>
      <c r="G2" s="4" t="s">
        <v>4</v>
      </c>
      <c r="H2" s="4" t="s">
        <v>5</v>
      </c>
    </row>
    <row r="3" spans="1:8" x14ac:dyDescent="0.3">
      <c r="A3" s="3">
        <v>1</v>
      </c>
      <c r="B3" s="3" t="s">
        <v>9</v>
      </c>
      <c r="C3" s="5">
        <v>0.88919999999999999</v>
      </c>
      <c r="D3" s="5">
        <v>-6.1199999999999997E-2</v>
      </c>
      <c r="E3" s="5" t="s">
        <v>14</v>
      </c>
      <c r="F3" s="5">
        <v>-1.2999999999999999E-3</v>
      </c>
      <c r="G3" s="5">
        <v>0.502</v>
      </c>
      <c r="H3" s="5">
        <v>0.34699999999999998</v>
      </c>
    </row>
    <row r="4" spans="1:8" x14ac:dyDescent="0.3">
      <c r="A4" s="3">
        <v>2</v>
      </c>
      <c r="B4" s="3" t="s">
        <v>12</v>
      </c>
      <c r="C4" s="5">
        <v>2.1399999999999999E-2</v>
      </c>
      <c r="D4" s="5">
        <v>0.14349999999999999</v>
      </c>
      <c r="E4" s="5">
        <v>0.13070000000000001</v>
      </c>
      <c r="F4" s="5" t="s">
        <v>28</v>
      </c>
      <c r="G4" s="5" t="s">
        <v>27</v>
      </c>
      <c r="H4" s="5" t="s">
        <v>27</v>
      </c>
    </row>
    <row r="5" spans="1:8" x14ac:dyDescent="0.3">
      <c r="A5" s="3">
        <v>3</v>
      </c>
      <c r="B5" s="3" t="s">
        <v>10</v>
      </c>
      <c r="C5" s="5">
        <v>1.7487999999999999</v>
      </c>
      <c r="D5" s="5">
        <v>0.36859999999999998</v>
      </c>
      <c r="E5" s="5" t="s">
        <v>27</v>
      </c>
      <c r="F5" s="5">
        <v>1.2522</v>
      </c>
      <c r="G5" s="5">
        <v>0.41320000000000001</v>
      </c>
      <c r="H5" s="5" t="s">
        <v>27</v>
      </c>
    </row>
    <row r="6" spans="1:8" x14ac:dyDescent="0.3">
      <c r="A6" s="3">
        <v>4</v>
      </c>
      <c r="B6" s="3" t="s">
        <v>13</v>
      </c>
      <c r="C6" s="5">
        <v>0.89219999999999999</v>
      </c>
      <c r="D6" s="5">
        <v>0.40339999999999998</v>
      </c>
      <c r="E6" s="5">
        <v>1.0759000000000001</v>
      </c>
      <c r="F6" s="5" t="s">
        <v>28</v>
      </c>
      <c r="G6" s="5" t="s">
        <v>27</v>
      </c>
      <c r="H6" s="5" t="s">
        <v>27</v>
      </c>
    </row>
  </sheetData>
  <mergeCells count="1">
    <mergeCell ref="A1:H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E1D3C-DB84-479C-8AE3-12EC7CCDE073}">
  <dimension ref="A1:H6"/>
  <sheetViews>
    <sheetView showGridLines="0" zoomScale="80" zoomScaleNormal="80" workbookViewId="0">
      <selection activeCell="B2" sqref="B2"/>
    </sheetView>
  </sheetViews>
  <sheetFormatPr defaultRowHeight="14" x14ac:dyDescent="0.3"/>
  <cols>
    <col min="1" max="1" width="3.26953125" style="2" bestFit="1" customWidth="1"/>
    <col min="2" max="2" width="40.1796875" style="2" bestFit="1" customWidth="1"/>
    <col min="3" max="3" width="13.1796875" style="6" bestFit="1" customWidth="1"/>
    <col min="4" max="4" width="9.7265625" style="6" bestFit="1" customWidth="1"/>
    <col min="5" max="5" width="16.26953125" style="6" bestFit="1" customWidth="1"/>
    <col min="6" max="6" width="14.26953125" style="6" bestFit="1" customWidth="1"/>
    <col min="7" max="7" width="15.54296875" style="6" bestFit="1" customWidth="1"/>
    <col min="8" max="8" width="26" style="6" bestFit="1" customWidth="1"/>
    <col min="9" max="9" width="36.36328125" style="2" customWidth="1"/>
    <col min="10" max="16384" width="8.7265625" style="2"/>
  </cols>
  <sheetData>
    <row r="1" spans="1:8" x14ac:dyDescent="0.3">
      <c r="A1" s="23" t="s">
        <v>15</v>
      </c>
      <c r="B1" s="24"/>
      <c r="C1" s="24"/>
      <c r="D1" s="24"/>
      <c r="E1" s="24"/>
      <c r="F1" s="24"/>
      <c r="G1" s="24"/>
      <c r="H1" s="25"/>
    </row>
    <row r="2" spans="1:8" x14ac:dyDescent="0.3">
      <c r="A2" s="1" t="s">
        <v>6</v>
      </c>
      <c r="B2" s="1" t="s">
        <v>29</v>
      </c>
      <c r="C2" s="4" t="s">
        <v>0</v>
      </c>
      <c r="D2" s="4" t="s">
        <v>1</v>
      </c>
      <c r="E2" s="4" t="s">
        <v>2</v>
      </c>
      <c r="F2" s="4" t="s">
        <v>3</v>
      </c>
      <c r="G2" s="4" t="s">
        <v>4</v>
      </c>
      <c r="H2" s="4" t="s">
        <v>5</v>
      </c>
    </row>
    <row r="3" spans="1:8" x14ac:dyDescent="0.3">
      <c r="A3" s="3">
        <v>1</v>
      </c>
      <c r="B3" s="3" t="s">
        <v>9</v>
      </c>
      <c r="C3" s="5">
        <v>0.99399999999999999</v>
      </c>
      <c r="D3" s="5">
        <v>0.22869999999999999</v>
      </c>
      <c r="E3" s="5">
        <v>0.28449999999999998</v>
      </c>
      <c r="F3" s="5">
        <v>-0.1028</v>
      </c>
      <c r="G3" s="5">
        <v>0.27810000000000001</v>
      </c>
      <c r="H3" s="5">
        <v>0.89900000000000002</v>
      </c>
    </row>
    <row r="4" spans="1:8" x14ac:dyDescent="0.3">
      <c r="A4" s="3">
        <v>2</v>
      </c>
      <c r="B4" s="3" t="s">
        <v>12</v>
      </c>
      <c r="C4" s="5">
        <v>-0.68540000000000001</v>
      </c>
      <c r="D4" s="5">
        <v>-0.187</v>
      </c>
      <c r="E4" s="5">
        <v>-0.27110000000000001</v>
      </c>
      <c r="F4" s="5" t="s">
        <v>28</v>
      </c>
      <c r="G4" s="5" t="s">
        <v>28</v>
      </c>
      <c r="H4" s="5" t="s">
        <v>27</v>
      </c>
    </row>
    <row r="5" spans="1:8" x14ac:dyDescent="0.3">
      <c r="A5" s="3">
        <v>3</v>
      </c>
      <c r="B5" s="3" t="s">
        <v>10</v>
      </c>
      <c r="C5" s="5">
        <v>1.1102000000000001</v>
      </c>
      <c r="D5" s="5">
        <v>0.95189999999999997</v>
      </c>
      <c r="E5" s="5" t="s">
        <v>27</v>
      </c>
      <c r="F5" s="5">
        <v>3.2000000000000002E-3</v>
      </c>
      <c r="G5" s="5">
        <v>0.8851</v>
      </c>
      <c r="H5" s="5" t="s">
        <v>27</v>
      </c>
    </row>
    <row r="6" spans="1:8" x14ac:dyDescent="0.3">
      <c r="A6" s="3">
        <v>4</v>
      </c>
      <c r="B6" s="3" t="s">
        <v>13</v>
      </c>
      <c r="C6" s="5">
        <v>7.0677000000000003</v>
      </c>
      <c r="D6" s="5">
        <v>0.2515</v>
      </c>
      <c r="E6" s="5">
        <v>4.43</v>
      </c>
      <c r="F6" s="5" t="s">
        <v>28</v>
      </c>
      <c r="G6" s="5" t="s">
        <v>28</v>
      </c>
      <c r="H6" s="5" t="s">
        <v>27</v>
      </c>
    </row>
  </sheetData>
  <mergeCells count="1">
    <mergeCell ref="A1:H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96722-14FA-435C-987E-F6E63A4E5C3A}">
  <dimension ref="A1:J6"/>
  <sheetViews>
    <sheetView showGridLines="0" zoomScale="80" zoomScaleNormal="80" workbookViewId="0">
      <selection activeCell="B2" sqref="B2"/>
    </sheetView>
  </sheetViews>
  <sheetFormatPr defaultRowHeight="14" x14ac:dyDescent="0.3"/>
  <cols>
    <col min="1" max="1" width="3.26953125" style="2" bestFit="1" customWidth="1"/>
    <col min="2" max="2" width="27.6328125" style="8" customWidth="1"/>
    <col min="3" max="3" width="13.1796875" style="6" bestFit="1" customWidth="1"/>
    <col min="4" max="4" width="10.90625" style="6" customWidth="1"/>
    <col min="5" max="5" width="16.26953125" style="6" bestFit="1" customWidth="1"/>
    <col min="6" max="6" width="14.26953125" style="6" bestFit="1" customWidth="1"/>
    <col min="7" max="7" width="13" style="6" customWidth="1"/>
    <col min="8" max="8" width="14.453125" style="6" customWidth="1"/>
    <col min="9" max="9" width="11.08984375" style="6" customWidth="1"/>
    <col min="10" max="10" width="13" style="6" customWidth="1"/>
    <col min="11" max="16384" width="8.7265625" style="2"/>
  </cols>
  <sheetData>
    <row r="1" spans="1:10" ht="14" customHeight="1" x14ac:dyDescent="0.3">
      <c r="A1" s="26" t="s">
        <v>16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ht="42" x14ac:dyDescent="0.3">
      <c r="A2" s="1" t="s">
        <v>6</v>
      </c>
      <c r="B2" s="1" t="s">
        <v>29</v>
      </c>
      <c r="C2" s="4" t="s">
        <v>0</v>
      </c>
      <c r="D2" s="4" t="s">
        <v>1</v>
      </c>
      <c r="E2" s="4" t="s">
        <v>2</v>
      </c>
      <c r="F2" s="4" t="s">
        <v>3</v>
      </c>
      <c r="G2" s="4" t="s">
        <v>4</v>
      </c>
      <c r="H2" s="4" t="s">
        <v>5</v>
      </c>
      <c r="I2" s="1" t="s">
        <v>7</v>
      </c>
      <c r="J2" s="1" t="s">
        <v>8</v>
      </c>
    </row>
    <row r="3" spans="1:10" x14ac:dyDescent="0.3">
      <c r="A3" s="3">
        <v>1</v>
      </c>
      <c r="B3" s="9" t="s">
        <v>9</v>
      </c>
      <c r="C3" s="5">
        <v>0.96160000000000001</v>
      </c>
      <c r="D3" s="5">
        <v>0.20519999999999999</v>
      </c>
      <c r="E3" s="5">
        <v>0.40810000000000002</v>
      </c>
      <c r="F3" s="5">
        <v>-0.19769999999999999</v>
      </c>
      <c r="G3" s="5">
        <v>0.38950000000000001</v>
      </c>
      <c r="H3" s="5">
        <v>0.93740000000000001</v>
      </c>
      <c r="I3" s="5">
        <v>0.98519999999999996</v>
      </c>
      <c r="J3" s="5">
        <v>-0.24610000000000001</v>
      </c>
    </row>
    <row r="4" spans="1:10" ht="28" x14ac:dyDescent="0.3">
      <c r="A4" s="3">
        <v>2</v>
      </c>
      <c r="B4" s="9" t="s">
        <v>12</v>
      </c>
      <c r="C4" s="5">
        <v>-0.2616</v>
      </c>
      <c r="D4" s="5">
        <v>-0.17430000000000001</v>
      </c>
      <c r="E4" s="5">
        <v>-0.2069</v>
      </c>
      <c r="F4" s="5" t="s">
        <v>28</v>
      </c>
      <c r="G4" s="5" t="s">
        <v>28</v>
      </c>
      <c r="H4" s="5" t="s">
        <v>27</v>
      </c>
      <c r="I4" s="5">
        <v>-0.28860000000000002</v>
      </c>
      <c r="J4" s="5" t="s">
        <v>28</v>
      </c>
    </row>
    <row r="5" spans="1:10" x14ac:dyDescent="0.3">
      <c r="A5" s="3">
        <v>3</v>
      </c>
      <c r="B5" s="9" t="s">
        <v>10</v>
      </c>
      <c r="C5" s="22">
        <v>0</v>
      </c>
      <c r="D5" s="5">
        <v>6.3700000000000007E-2</v>
      </c>
      <c r="E5" s="5" t="s">
        <v>27</v>
      </c>
      <c r="F5" s="5">
        <v>2.3E-3</v>
      </c>
      <c r="G5" s="5">
        <v>0.55320000000000003</v>
      </c>
      <c r="H5" s="5" t="s">
        <v>27</v>
      </c>
      <c r="I5" s="5">
        <v>2.5999999999999999E-3</v>
      </c>
      <c r="J5" s="5">
        <v>0.17269999999999999</v>
      </c>
    </row>
    <row r="6" spans="1:10" ht="28" x14ac:dyDescent="0.3">
      <c r="A6" s="3">
        <v>4</v>
      </c>
      <c r="B6" s="9" t="s">
        <v>13</v>
      </c>
      <c r="C6" s="5">
        <v>2.3519999999999999</v>
      </c>
      <c r="D6" s="5">
        <v>0.2399</v>
      </c>
      <c r="E6" s="5">
        <v>11.2704</v>
      </c>
      <c r="F6" s="5" t="s">
        <v>28</v>
      </c>
      <c r="G6" s="5" t="s">
        <v>27</v>
      </c>
      <c r="H6" s="5" t="s">
        <v>27</v>
      </c>
      <c r="I6" s="5">
        <v>3.9895258169896597E-5</v>
      </c>
      <c r="J6" s="5" t="s">
        <v>28</v>
      </c>
    </row>
  </sheetData>
  <mergeCells count="1">
    <mergeCell ref="A1:J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26D3D-C064-464F-ACE8-F1AFED5E69AF}">
  <dimension ref="A1:D13"/>
  <sheetViews>
    <sheetView showGridLines="0" zoomScale="80" zoomScaleNormal="80" workbookViewId="0">
      <selection activeCell="A3" sqref="A3"/>
    </sheetView>
  </sheetViews>
  <sheetFormatPr defaultRowHeight="14" x14ac:dyDescent="0.3"/>
  <cols>
    <col min="1" max="1" width="15.6328125" style="2" customWidth="1"/>
    <col min="2" max="2" width="20" style="8" bestFit="1" customWidth="1"/>
    <col min="3" max="4" width="33.36328125" style="12" bestFit="1" customWidth="1"/>
    <col min="5" max="16384" width="8.7265625" style="2"/>
  </cols>
  <sheetData>
    <row r="1" spans="1:4" ht="14" customHeight="1" x14ac:dyDescent="0.3">
      <c r="A1" s="27" t="s">
        <v>18</v>
      </c>
      <c r="B1" s="28"/>
      <c r="C1" s="28"/>
      <c r="D1" s="28"/>
    </row>
    <row r="2" spans="1:4" x14ac:dyDescent="0.3">
      <c r="A2" s="7" t="s">
        <v>17</v>
      </c>
      <c r="B2" s="4" t="s">
        <v>0</v>
      </c>
      <c r="C2" s="10" t="s">
        <v>25</v>
      </c>
      <c r="D2" s="10" t="s">
        <v>26</v>
      </c>
    </row>
    <row r="3" spans="1:4" x14ac:dyDescent="0.3">
      <c r="A3" s="9">
        <v>10</v>
      </c>
      <c r="B3" s="20">
        <v>0.83822134857516195</v>
      </c>
      <c r="C3" s="11"/>
      <c r="D3" s="11"/>
    </row>
    <row r="4" spans="1:4" x14ac:dyDescent="0.3">
      <c r="A4" s="9">
        <v>20</v>
      </c>
      <c r="B4" s="20">
        <v>0.83822134857516195</v>
      </c>
      <c r="C4" s="11">
        <f>(B4-$B$3)/$B$3</f>
        <v>0</v>
      </c>
      <c r="D4" s="11"/>
    </row>
    <row r="5" spans="1:4" x14ac:dyDescent="0.3">
      <c r="A5" s="13">
        <v>30</v>
      </c>
      <c r="B5" s="21">
        <v>0.89219341978921796</v>
      </c>
      <c r="C5" s="14">
        <f t="shared" ref="C5:C13" si="0">(B5-$B$3)/$B$3</f>
        <v>6.4388805302799348E-2</v>
      </c>
      <c r="D5" s="14"/>
    </row>
    <row r="6" spans="1:4" x14ac:dyDescent="0.3">
      <c r="A6" s="9">
        <v>40</v>
      </c>
      <c r="B6" s="20">
        <v>0.89219341978921796</v>
      </c>
      <c r="C6" s="11">
        <f t="shared" si="0"/>
        <v>6.4388805302799348E-2</v>
      </c>
      <c r="D6" s="11">
        <f>(B6-$B$5)/$B$5</f>
        <v>0</v>
      </c>
    </row>
    <row r="7" spans="1:4" x14ac:dyDescent="0.3">
      <c r="A7" s="9">
        <v>50</v>
      </c>
      <c r="B7" s="20">
        <v>0.89219341978921796</v>
      </c>
      <c r="C7" s="11">
        <f t="shared" si="0"/>
        <v>6.4388805302799348E-2</v>
      </c>
      <c r="D7" s="11">
        <f t="shared" ref="D7:D13" si="1">(B7-$B$5)/$B$5</f>
        <v>0</v>
      </c>
    </row>
    <row r="8" spans="1:4" x14ac:dyDescent="0.3">
      <c r="A8" s="9">
        <v>60</v>
      </c>
      <c r="B8" s="20">
        <v>0.89219341978921796</v>
      </c>
      <c r="C8" s="11">
        <f t="shared" si="0"/>
        <v>6.4388805302799348E-2</v>
      </c>
      <c r="D8" s="11">
        <f t="shared" si="1"/>
        <v>0</v>
      </c>
    </row>
    <row r="9" spans="1:4" x14ac:dyDescent="0.3">
      <c r="A9" s="9">
        <v>70</v>
      </c>
      <c r="B9" s="20">
        <v>0.92301137878887096</v>
      </c>
      <c r="C9" s="11">
        <f t="shared" si="0"/>
        <v>0.10115470138983942</v>
      </c>
      <c r="D9" s="11">
        <f t="shared" si="1"/>
        <v>3.4541791405426188E-2</v>
      </c>
    </row>
    <row r="10" spans="1:4" x14ac:dyDescent="0.3">
      <c r="A10" s="9">
        <v>80</v>
      </c>
      <c r="B10" s="20">
        <v>0.92301137878887096</v>
      </c>
      <c r="C10" s="11">
        <f t="shared" si="0"/>
        <v>0.10115470138983942</v>
      </c>
      <c r="D10" s="11">
        <f t="shared" si="1"/>
        <v>3.4541791405426188E-2</v>
      </c>
    </row>
    <row r="11" spans="1:4" x14ac:dyDescent="0.3">
      <c r="A11" s="9">
        <v>90</v>
      </c>
      <c r="B11" s="20">
        <v>0.92301137878887096</v>
      </c>
      <c r="C11" s="11">
        <f t="shared" si="0"/>
        <v>0.10115470138983942</v>
      </c>
      <c r="D11" s="11">
        <f t="shared" si="1"/>
        <v>3.4541791405426188E-2</v>
      </c>
    </row>
    <row r="12" spans="1:4" x14ac:dyDescent="0.3">
      <c r="A12" s="9">
        <v>100</v>
      </c>
      <c r="B12" s="20">
        <v>0.92301137878887096</v>
      </c>
      <c r="C12" s="11">
        <f t="shared" si="0"/>
        <v>0.10115470138983942</v>
      </c>
      <c r="D12" s="11">
        <f t="shared" si="1"/>
        <v>3.4541791405426188E-2</v>
      </c>
    </row>
    <row r="13" spans="1:4" x14ac:dyDescent="0.3">
      <c r="A13" s="9">
        <v>1000</v>
      </c>
      <c r="B13" s="20">
        <v>0.93220891641746795</v>
      </c>
      <c r="C13" s="11">
        <f t="shared" si="0"/>
        <v>0.11212738497065168</v>
      </c>
      <c r="D13" s="11">
        <f t="shared" si="1"/>
        <v>4.4850696878826694E-2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3D61C-6792-46E4-985E-B0652E0F7816}">
  <dimension ref="A1:D13"/>
  <sheetViews>
    <sheetView showGridLines="0" zoomScale="80" zoomScaleNormal="80" workbookViewId="0">
      <selection activeCell="A3" sqref="A3"/>
    </sheetView>
  </sheetViews>
  <sheetFormatPr defaultRowHeight="14" x14ac:dyDescent="0.3"/>
  <cols>
    <col min="1" max="1" width="15.6328125" style="2" customWidth="1"/>
    <col min="2" max="2" width="25.81640625" style="8" customWidth="1"/>
    <col min="3" max="4" width="32.6328125" style="12" bestFit="1" customWidth="1"/>
    <col min="5" max="16384" width="8.7265625" style="2"/>
  </cols>
  <sheetData>
    <row r="1" spans="1:4" ht="14" customHeight="1" x14ac:dyDescent="0.3">
      <c r="A1" s="27" t="s">
        <v>19</v>
      </c>
      <c r="B1" s="28"/>
      <c r="C1" s="28"/>
      <c r="D1" s="28"/>
    </row>
    <row r="2" spans="1:4" x14ac:dyDescent="0.3">
      <c r="A2" s="7" t="s">
        <v>17</v>
      </c>
      <c r="B2" s="4" t="s">
        <v>1</v>
      </c>
      <c r="C2" s="10" t="s">
        <v>23</v>
      </c>
      <c r="D2" s="10" t="s">
        <v>24</v>
      </c>
    </row>
    <row r="3" spans="1:4" x14ac:dyDescent="0.3">
      <c r="A3" s="9">
        <v>10</v>
      </c>
      <c r="B3" s="20">
        <v>0.43015792880481701</v>
      </c>
      <c r="C3" s="11"/>
      <c r="D3" s="11"/>
    </row>
    <row r="4" spans="1:4" x14ac:dyDescent="0.3">
      <c r="A4" s="9">
        <v>20</v>
      </c>
      <c r="B4" s="20">
        <v>0.48468168321161897</v>
      </c>
      <c r="C4" s="11">
        <f>(B4-$B$3)/$B$3</f>
        <v>0.12675287552712289</v>
      </c>
      <c r="D4" s="11"/>
    </row>
    <row r="5" spans="1:4" x14ac:dyDescent="0.3">
      <c r="A5" s="13">
        <v>30</v>
      </c>
      <c r="B5" s="21">
        <v>0.31870760474327697</v>
      </c>
      <c r="C5" s="14">
        <f t="shared" ref="C5:C13" si="0">(B5-$B$3)/$B$3</f>
        <v>-0.25909164192602929</v>
      </c>
      <c r="D5" s="14"/>
    </row>
    <row r="6" spans="1:4" x14ac:dyDescent="0.3">
      <c r="A6" s="9">
        <v>40</v>
      </c>
      <c r="B6" s="20">
        <v>0.38127505963376501</v>
      </c>
      <c r="C6" s="11">
        <f t="shared" si="0"/>
        <v>-0.11363935405508351</v>
      </c>
      <c r="D6" s="11">
        <f>(B6-$B$5)/$B$5</f>
        <v>0.19631616553639164</v>
      </c>
    </row>
    <row r="7" spans="1:4" x14ac:dyDescent="0.3">
      <c r="A7" s="9">
        <v>50</v>
      </c>
      <c r="B7" s="20">
        <v>0.40610830554555299</v>
      </c>
      <c r="C7" s="11">
        <f t="shared" si="0"/>
        <v>-5.5908822431996762E-2</v>
      </c>
      <c r="D7" s="11">
        <f t="shared" ref="D7:D13" si="1">(B7-$B$5)/$B$5</f>
        <v>0.27423475154500437</v>
      </c>
    </row>
    <row r="8" spans="1:4" x14ac:dyDescent="0.3">
      <c r="A8" s="9">
        <v>60</v>
      </c>
      <c r="B8" s="20">
        <v>0.390163991541922</v>
      </c>
      <c r="C8" s="11">
        <f t="shared" si="0"/>
        <v>-9.2975008908977141E-2</v>
      </c>
      <c r="D8" s="11">
        <f t="shared" si="1"/>
        <v>0.22420672031407612</v>
      </c>
    </row>
    <row r="9" spans="1:4" x14ac:dyDescent="0.3">
      <c r="A9" s="9">
        <v>70</v>
      </c>
      <c r="B9" s="20">
        <v>0.40362020191784398</v>
      </c>
      <c r="C9" s="11">
        <f t="shared" si="0"/>
        <v>-6.1692985552323637E-2</v>
      </c>
      <c r="D9" s="11">
        <f t="shared" si="1"/>
        <v>0.26642789789394949</v>
      </c>
    </row>
    <row r="10" spans="1:4" x14ac:dyDescent="0.3">
      <c r="A10" s="9">
        <v>80</v>
      </c>
      <c r="B10" s="20">
        <v>0.40568633263871301</v>
      </c>
      <c r="C10" s="11">
        <f t="shared" si="0"/>
        <v>-5.6889794485708349E-2</v>
      </c>
      <c r="D10" s="11">
        <f t="shared" si="1"/>
        <v>0.27291073887458228</v>
      </c>
    </row>
    <row r="11" spans="1:4" x14ac:dyDescent="0.3">
      <c r="A11" s="9">
        <v>90</v>
      </c>
      <c r="B11" s="20">
        <v>0.42856413904206497</v>
      </c>
      <c r="C11" s="11">
        <f>(B11-$B$3)/$B$3</f>
        <v>-3.7051270150485079E-3</v>
      </c>
      <c r="D11" s="11">
        <f t="shared" si="1"/>
        <v>0.34469379664560823</v>
      </c>
    </row>
    <row r="12" spans="1:4" x14ac:dyDescent="0.3">
      <c r="A12" s="9">
        <v>100</v>
      </c>
      <c r="B12" s="20">
        <v>0.48090471848323801</v>
      </c>
      <c r="C12" s="11">
        <f t="shared" si="0"/>
        <v>0.11797246146181631</v>
      </c>
      <c r="D12" s="11">
        <f t="shared" si="1"/>
        <v>0.50892137911366397</v>
      </c>
    </row>
    <row r="13" spans="1:4" x14ac:dyDescent="0.3">
      <c r="A13" s="9">
        <v>1000</v>
      </c>
      <c r="B13" s="20">
        <v>0.46079157690359901</v>
      </c>
      <c r="C13" s="11">
        <f t="shared" si="0"/>
        <v>7.1214886550846138E-2</v>
      </c>
      <c r="D13" s="11">
        <f t="shared" si="1"/>
        <v>0.44581293337751537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BF8A1-605D-4CBE-909D-C7F7E193F237}">
  <dimension ref="A1:D13"/>
  <sheetViews>
    <sheetView showGridLines="0" zoomScale="80" zoomScaleNormal="80" workbookViewId="0">
      <selection activeCell="A3" sqref="A3:D13"/>
    </sheetView>
  </sheetViews>
  <sheetFormatPr defaultRowHeight="14" x14ac:dyDescent="0.3"/>
  <cols>
    <col min="1" max="1" width="15.6328125" style="2" customWidth="1"/>
    <col min="2" max="2" width="20" style="8" bestFit="1" customWidth="1"/>
    <col min="3" max="4" width="42.453125" style="12" bestFit="1" customWidth="1"/>
    <col min="5" max="16384" width="8.7265625" style="2"/>
  </cols>
  <sheetData>
    <row r="1" spans="1:4" ht="14" customHeight="1" x14ac:dyDescent="0.3">
      <c r="A1" s="27" t="s">
        <v>20</v>
      </c>
      <c r="B1" s="28"/>
      <c r="C1" s="28"/>
      <c r="D1" s="28"/>
    </row>
    <row r="2" spans="1:4" x14ac:dyDescent="0.3">
      <c r="A2" s="15" t="s">
        <v>17</v>
      </c>
      <c r="B2" s="16" t="s">
        <v>2</v>
      </c>
      <c r="C2" s="17" t="s">
        <v>21</v>
      </c>
      <c r="D2" s="17" t="s">
        <v>22</v>
      </c>
    </row>
    <row r="3" spans="1:4" x14ac:dyDescent="0.3">
      <c r="A3" s="9">
        <v>10</v>
      </c>
      <c r="B3" s="18">
        <v>0.987951685084687</v>
      </c>
      <c r="C3" s="11"/>
      <c r="D3" s="11"/>
    </row>
    <row r="4" spans="1:4" x14ac:dyDescent="0.3">
      <c r="A4" s="9">
        <v>20</v>
      </c>
      <c r="B4" s="18">
        <v>1.04587668031824</v>
      </c>
      <c r="C4" s="11">
        <f>(B4-$B$3)/$B$3</f>
        <v>5.8631404863272917E-2</v>
      </c>
      <c r="D4" s="11"/>
    </row>
    <row r="5" spans="1:4" x14ac:dyDescent="0.3">
      <c r="A5" s="13">
        <v>30</v>
      </c>
      <c r="B5" s="19">
        <v>1.07592384591943</v>
      </c>
      <c r="C5" s="14">
        <f t="shared" ref="C5:C13" si="0">(B5-$B$3)/$B$3</f>
        <v>8.9045003073406431E-2</v>
      </c>
      <c r="D5" s="14"/>
    </row>
    <row r="6" spans="1:4" x14ac:dyDescent="0.3">
      <c r="A6" s="9">
        <v>40</v>
      </c>
      <c r="B6" s="18">
        <v>1.08985795560096</v>
      </c>
      <c r="C6" s="11">
        <f t="shared" si="0"/>
        <v>0.10314904266552023</v>
      </c>
      <c r="D6" s="11">
        <f>(B6-$B$5)/$B$5</f>
        <v>1.2950832658256205E-2</v>
      </c>
    </row>
    <row r="7" spans="1:4" x14ac:dyDescent="0.3">
      <c r="A7" s="9">
        <v>50</v>
      </c>
      <c r="B7" s="18">
        <v>1.1000058146812699</v>
      </c>
      <c r="C7" s="11">
        <f t="shared" si="0"/>
        <v>0.113420657394777</v>
      </c>
      <c r="D7" s="11">
        <f>(B7-$B$5)/$B$5</f>
        <v>2.2382595992433505E-2</v>
      </c>
    </row>
    <row r="8" spans="1:4" x14ac:dyDescent="0.3">
      <c r="A8" s="9">
        <v>60</v>
      </c>
      <c r="B8" s="18">
        <v>1.1000058146812699</v>
      </c>
      <c r="C8" s="11">
        <f t="shared" si="0"/>
        <v>0.113420657394777</v>
      </c>
      <c r="D8" s="11">
        <f t="shared" ref="D8:D13" si="1">(B8-$B$5)/$B$5</f>
        <v>2.2382595992433505E-2</v>
      </c>
    </row>
    <row r="9" spans="1:4" x14ac:dyDescent="0.3">
      <c r="A9" s="9">
        <v>70</v>
      </c>
      <c r="B9" s="18">
        <v>1.1000058146812699</v>
      </c>
      <c r="C9" s="11">
        <f t="shared" si="0"/>
        <v>0.113420657394777</v>
      </c>
      <c r="D9" s="11">
        <f t="shared" si="1"/>
        <v>2.2382595992433505E-2</v>
      </c>
    </row>
    <row r="10" spans="1:4" x14ac:dyDescent="0.3">
      <c r="A10" s="9">
        <v>80</v>
      </c>
      <c r="B10" s="18">
        <v>1.1000058146812699</v>
      </c>
      <c r="C10" s="11">
        <f t="shared" si="0"/>
        <v>0.113420657394777</v>
      </c>
      <c r="D10" s="11">
        <f t="shared" si="1"/>
        <v>2.2382595992433505E-2</v>
      </c>
    </row>
    <row r="11" spans="1:4" x14ac:dyDescent="0.3">
      <c r="A11" s="9">
        <v>90</v>
      </c>
      <c r="B11" s="18">
        <v>1.1000058146812699</v>
      </c>
      <c r="C11" s="11">
        <f t="shared" si="0"/>
        <v>0.113420657394777</v>
      </c>
      <c r="D11" s="11">
        <f t="shared" si="1"/>
        <v>2.2382595992433505E-2</v>
      </c>
    </row>
    <row r="12" spans="1:4" x14ac:dyDescent="0.3">
      <c r="A12" s="9">
        <v>100</v>
      </c>
      <c r="B12" s="18">
        <v>1.1000058146812699</v>
      </c>
      <c r="C12" s="11">
        <f t="shared" si="0"/>
        <v>0.113420657394777</v>
      </c>
      <c r="D12" s="11">
        <f t="shared" si="1"/>
        <v>2.2382595992433505E-2</v>
      </c>
    </row>
    <row r="13" spans="1:4" x14ac:dyDescent="0.3">
      <c r="A13" s="9">
        <v>1000</v>
      </c>
      <c r="B13" s="18">
        <v>1.16223904244216</v>
      </c>
      <c r="C13" s="11">
        <f t="shared" si="0"/>
        <v>0.17641283474559097</v>
      </c>
      <c r="D13" s="11">
        <f t="shared" si="1"/>
        <v>8.0224262014538222E-2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XGBoost - Metrics</vt:lpstr>
      <vt:lpstr>SVM - Metrics</vt:lpstr>
      <vt:lpstr>ANN - Metrics</vt:lpstr>
      <vt:lpstr>n_samples - XGBnSHAP</vt:lpstr>
      <vt:lpstr>n_samples - XGBnLIME</vt:lpstr>
      <vt:lpstr>n_samples - XGBnCounterfactual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Eunice Patricia Aber</dc:creator>
  <cp:lastModifiedBy>Eunice Patricia Aber</cp:lastModifiedBy>
  <dcterms:created xsi:type="dcterms:W3CDTF">2025-08-31T19:10:04Z</dcterms:created>
  <dcterms:modified xsi:type="dcterms:W3CDTF">2025-12-31T07:29:49Z</dcterms:modified>
</cp:coreProperties>
</file>